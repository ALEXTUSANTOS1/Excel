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arquivos\Projetos\Excel\DashBoard\"/>
    </mc:Choice>
  </mc:AlternateContent>
  <xr:revisionPtr revIDLastSave="0" documentId="13_ncr:1_{F73C2C53-7520-420A-8EC8-0560F1F159A7}" xr6:coauthVersionLast="47" xr6:coauthVersionMax="47" xr10:uidLastSave="{00000000-0000-0000-0000-000000000000}"/>
  <bookViews>
    <workbookView xWindow="-120" yWindow="-120" windowWidth="20730" windowHeight="11040" tabRatio="818" firstSheet="3" activeTab="3" xr2:uid="{0F881DE4-0263-4936-8263-7C6D728F4D26}"/>
  </bookViews>
  <sheets>
    <sheet name="Vendas" sheetId="1" state="hidden" r:id="rId1"/>
    <sheet name="Tabela de Preços" sheetId="2" state="hidden" r:id="rId2"/>
    <sheet name="Analise" sheetId="4" state="hidden" r:id="rId3"/>
    <sheet name="Dash" sheetId="5" r:id="rId4"/>
  </sheets>
  <definedNames>
    <definedName name="SegmentaçãodeDados_Cliente">#N/A</definedName>
    <definedName name="SegmentaçãodeDados_Funcionário">#N/A</definedName>
    <definedName name="SegmentaçãodeDados_Produto_vendid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V6" i="5"/>
</calcChain>
</file>

<file path=xl/sharedStrings.xml><?xml version="1.0" encoding="utf-8"?>
<sst xmlns="http://schemas.openxmlformats.org/spreadsheetml/2006/main" count="227" uniqueCount="39">
  <si>
    <t>Produto</t>
  </si>
  <si>
    <t>Calça</t>
  </si>
  <si>
    <t>Camisa</t>
  </si>
  <si>
    <t>Relógio</t>
  </si>
  <si>
    <t>Sapato</t>
  </si>
  <si>
    <t>Tênis</t>
  </si>
  <si>
    <t>Preço Unitário</t>
  </si>
  <si>
    <t>Produto vendido</t>
  </si>
  <si>
    <t>João Campos</t>
  </si>
  <si>
    <t>José Oliveira</t>
  </si>
  <si>
    <t>Maria Helena</t>
  </si>
  <si>
    <t>Carla França</t>
  </si>
  <si>
    <t>Moisés Ferreira</t>
  </si>
  <si>
    <t>Aline Pereira</t>
  </si>
  <si>
    <t>Tabata Moreira</t>
  </si>
  <si>
    <t>Data</t>
  </si>
  <si>
    <t>Miguel Araujo</t>
  </si>
  <si>
    <t>Quantidade</t>
  </si>
  <si>
    <t>Funcionário</t>
  </si>
  <si>
    <t>Cliente</t>
  </si>
  <si>
    <t>Elaine</t>
  </si>
  <si>
    <t>José</t>
  </si>
  <si>
    <t>Alvaro</t>
  </si>
  <si>
    <t>Roberta</t>
  </si>
  <si>
    <t>Alice</t>
  </si>
  <si>
    <t>Carla</t>
  </si>
  <si>
    <t>Monica</t>
  </si>
  <si>
    <t>Thuany</t>
  </si>
  <si>
    <t>Solange</t>
  </si>
  <si>
    <t>Mia</t>
  </si>
  <si>
    <t>Rose</t>
  </si>
  <si>
    <t>Paloma</t>
  </si>
  <si>
    <t>Krissia</t>
  </si>
  <si>
    <t>Total Vendas</t>
  </si>
  <si>
    <t>Total Geral</t>
  </si>
  <si>
    <t>Soma de Quantidade</t>
  </si>
  <si>
    <t>Vendedor</t>
  </si>
  <si>
    <t>DASHBOARD VENDAS</t>
  </si>
  <si>
    <t>TOTAL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</si>
</sst>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0" xfId="1" applyFont="1"/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0" borderId="7" xfId="0" applyFont="1" applyBorder="1" applyAlignment="1">
      <alignment vertical="center"/>
    </xf>
    <xf numFmtId="0" fontId="0" fillId="4" borderId="0" xfId="0" applyFill="1"/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2" defaultPivotStyle="PivotStyleLight16">
    <tableStyle name="Estilo de Segmentação de Dados 1" pivot="0" table="0" count="1" xr9:uid="{83A01547-3B15-438A-9806-EA9845C01FD5}">
      <tableStyleElement type="wholeTable" dxfId="8"/>
    </tableStyle>
  </tableStyles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Vendas.xlsx]Analise!Tabela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Analise!$A$4:$A$13</c:f>
              <c:strCache>
                <c:ptCount val="9"/>
                <c:pt idx="0">
                  <c:v>Aline Pereira</c:v>
                </c:pt>
                <c:pt idx="1">
                  <c:v>Carla França</c:v>
                </c:pt>
                <c:pt idx="2">
                  <c:v>João Campos</c:v>
                </c:pt>
                <c:pt idx="3">
                  <c:v>José Oliveira</c:v>
                </c:pt>
                <c:pt idx="4">
                  <c:v>Maria Helena</c:v>
                </c:pt>
                <c:pt idx="5">
                  <c:v>Miguel Araujo</c:v>
                </c:pt>
                <c:pt idx="6">
                  <c:v>Moisés Ferreira</c:v>
                </c:pt>
                <c:pt idx="7">
                  <c:v>Paloma</c:v>
                </c:pt>
                <c:pt idx="8">
                  <c:v>Tabata Moreira</c:v>
                </c:pt>
              </c:strCache>
            </c:strRef>
          </c:cat>
          <c:val>
            <c:numRef>
              <c:f>Analise!$B$4:$B$13</c:f>
              <c:numCache>
                <c:formatCode>_("R$"* #,##0.00_);_("R$"* \(#,##0.00\);_("R$"* "-"??_);_(@_)</c:formatCode>
                <c:ptCount val="9"/>
                <c:pt idx="0">
                  <c:v>375.88</c:v>
                </c:pt>
                <c:pt idx="1">
                  <c:v>1275.98</c:v>
                </c:pt>
                <c:pt idx="2">
                  <c:v>1608.47</c:v>
                </c:pt>
                <c:pt idx="3">
                  <c:v>1715.4800000000002</c:v>
                </c:pt>
                <c:pt idx="4">
                  <c:v>1122.69</c:v>
                </c:pt>
                <c:pt idx="5">
                  <c:v>459.9</c:v>
                </c:pt>
                <c:pt idx="6">
                  <c:v>735.88</c:v>
                </c:pt>
                <c:pt idx="7">
                  <c:v>89.9</c:v>
                </c:pt>
                <c:pt idx="8">
                  <c:v>419.79999999999995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F-4C81-ADCB-16E1F0D477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1022207"/>
        <c:axId val="1531480207"/>
      </c:barChart>
      <c:catAx>
        <c:axId val="461022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480207"/>
        <c:crosses val="autoZero"/>
        <c:auto val="1"/>
        <c:lblAlgn val="ctr"/>
        <c:lblOffset val="100"/>
        <c:noMultiLvlLbl val="0"/>
      </c:catAx>
      <c:valAx>
        <c:axId val="15314802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6102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Vendas.xlsx]Analise!Tabela dinâmica2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Compras por Cliente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427360309167419"/>
          <c:y val="0.12670797102820797"/>
          <c:w val="0.71766624048047056"/>
          <c:h val="0.92808695867033453"/>
        </c:manualLayout>
      </c:layout>
      <c:pieChart>
        <c:varyColors val="1"/>
        <c:ser>
          <c:idx val="0"/>
          <c:order val="0"/>
          <c:tx>
            <c:strRef>
              <c:f>Analise!$F$3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5A-4D3E-AF9F-8F529CCF10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5A-4D3E-AF9F-8F529CCF10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5A-4D3E-AF9F-8F529CCF10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5A-4D3E-AF9F-8F529CCF10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5A-4D3E-AF9F-8F529CCF10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55A-4D3E-AF9F-8F529CCF10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55A-4D3E-AF9F-8F529CCF10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55A-4D3E-AF9F-8F529CCF10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55A-4D3E-AF9F-8F529CCF10F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55A-4D3E-AF9F-8F529CCF10F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55A-4D3E-AF9F-8F529CCF10F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55A-4D3E-AF9F-8F529CCF10F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Analise!$E$4:$E$16</c:f>
              <c:strCache>
                <c:ptCount val="12"/>
                <c:pt idx="0">
                  <c:v>Alice</c:v>
                </c:pt>
                <c:pt idx="1">
                  <c:v>Alvaro</c:v>
                </c:pt>
                <c:pt idx="2">
                  <c:v>Carla</c:v>
                </c:pt>
                <c:pt idx="3">
                  <c:v>Elaine</c:v>
                </c:pt>
                <c:pt idx="4">
                  <c:v>José</c:v>
                </c:pt>
                <c:pt idx="5">
                  <c:v>Krissia</c:v>
                </c:pt>
                <c:pt idx="6">
                  <c:v>Mia</c:v>
                </c:pt>
                <c:pt idx="7">
                  <c:v>Monica</c:v>
                </c:pt>
                <c:pt idx="8">
                  <c:v>Roberta</c:v>
                </c:pt>
                <c:pt idx="9">
                  <c:v>Rose</c:v>
                </c:pt>
                <c:pt idx="10">
                  <c:v>Solange</c:v>
                </c:pt>
                <c:pt idx="11">
                  <c:v>Thuany</c:v>
                </c:pt>
              </c:strCache>
            </c:strRef>
          </c:cat>
          <c:val>
            <c:numRef>
              <c:f>Analise!$F$4:$F$16</c:f>
              <c:numCache>
                <c:formatCode>_("R$"* #,##0.00_);_("R$"* \(#,##0.00\);_("R$"* "-"??_);_(@_)</c:formatCode>
                <c:ptCount val="12"/>
                <c:pt idx="0">
                  <c:v>542.79</c:v>
                </c:pt>
                <c:pt idx="1">
                  <c:v>902.68999999999994</c:v>
                </c:pt>
                <c:pt idx="2">
                  <c:v>1035.98</c:v>
                </c:pt>
                <c:pt idx="3">
                  <c:v>789.8</c:v>
                </c:pt>
                <c:pt idx="4">
                  <c:v>718.77</c:v>
                </c:pt>
                <c:pt idx="5">
                  <c:v>89.9</c:v>
                </c:pt>
                <c:pt idx="6">
                  <c:v>579.9</c:v>
                </c:pt>
                <c:pt idx="7">
                  <c:v>699.9</c:v>
                </c:pt>
                <c:pt idx="8">
                  <c:v>889.69999999999993</c:v>
                </c:pt>
                <c:pt idx="9">
                  <c:v>365.88</c:v>
                </c:pt>
                <c:pt idx="10">
                  <c:v>669.8</c:v>
                </c:pt>
                <c:pt idx="11">
                  <c:v>518.87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55A-4D3E-AF9F-8F529CCF10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Vendas.xlsx]Analise!Tabela dinâmica2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259390488803977E-2"/>
          <c:y val="0.160185027950069"/>
          <c:w val="0.9496837567648615"/>
          <c:h val="0.67923615497292145"/>
        </c:manualLayout>
      </c:layout>
      <c:lineChart>
        <c:grouping val="standard"/>
        <c:varyColors val="0"/>
        <c:ser>
          <c:idx val="0"/>
          <c:order val="0"/>
          <c:tx>
            <c:strRef>
              <c:f>Analise!$F$3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Analise!$E$4:$E$16</c:f>
              <c:strCache>
                <c:ptCount val="12"/>
                <c:pt idx="0">
                  <c:v>Alice</c:v>
                </c:pt>
                <c:pt idx="1">
                  <c:v>Alvaro</c:v>
                </c:pt>
                <c:pt idx="2">
                  <c:v>Carla</c:v>
                </c:pt>
                <c:pt idx="3">
                  <c:v>Elaine</c:v>
                </c:pt>
                <c:pt idx="4">
                  <c:v>José</c:v>
                </c:pt>
                <c:pt idx="5">
                  <c:v>Krissia</c:v>
                </c:pt>
                <c:pt idx="6">
                  <c:v>Mia</c:v>
                </c:pt>
                <c:pt idx="7">
                  <c:v>Monica</c:v>
                </c:pt>
                <c:pt idx="8">
                  <c:v>Roberta</c:v>
                </c:pt>
                <c:pt idx="9">
                  <c:v>Rose</c:v>
                </c:pt>
                <c:pt idx="10">
                  <c:v>Solange</c:v>
                </c:pt>
                <c:pt idx="11">
                  <c:v>Thuany</c:v>
                </c:pt>
              </c:strCache>
            </c:strRef>
          </c:cat>
          <c:val>
            <c:numRef>
              <c:f>Analise!$F$4:$F$16</c:f>
              <c:numCache>
                <c:formatCode>_("R$"* #,##0.00_);_("R$"* \(#,##0.00\);_("R$"* "-"??_);_(@_)</c:formatCode>
                <c:ptCount val="12"/>
                <c:pt idx="0">
                  <c:v>542.79</c:v>
                </c:pt>
                <c:pt idx="1">
                  <c:v>902.68999999999994</c:v>
                </c:pt>
                <c:pt idx="2">
                  <c:v>1035.98</c:v>
                </c:pt>
                <c:pt idx="3">
                  <c:v>789.8</c:v>
                </c:pt>
                <c:pt idx="4">
                  <c:v>718.77</c:v>
                </c:pt>
                <c:pt idx="5">
                  <c:v>89.9</c:v>
                </c:pt>
                <c:pt idx="6">
                  <c:v>579.9</c:v>
                </c:pt>
                <c:pt idx="7">
                  <c:v>699.9</c:v>
                </c:pt>
                <c:pt idx="8">
                  <c:v>889.69999999999993</c:v>
                </c:pt>
                <c:pt idx="9">
                  <c:v>365.88</c:v>
                </c:pt>
                <c:pt idx="10">
                  <c:v>669.8</c:v>
                </c:pt>
                <c:pt idx="11">
                  <c:v>518.87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C-47C8-A350-BCEDE9BC57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dropLines>
        <c:marker val="1"/>
        <c:smooth val="0"/>
        <c:axId val="562057103"/>
        <c:axId val="1531443247"/>
      </c:lineChart>
      <c:catAx>
        <c:axId val="562057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443247"/>
        <c:crosses val="autoZero"/>
        <c:auto val="1"/>
        <c:lblAlgn val="ctr"/>
        <c:lblOffset val="100"/>
        <c:noMultiLvlLbl val="0"/>
      </c:catAx>
      <c:valAx>
        <c:axId val="15314432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6205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Vendas.xlsx]Analise!Tabela dinâmica4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257100571476307E-3"/>
          <c:y val="0.17316702003518111"/>
          <c:w val="0.98974857988570475"/>
          <c:h val="0.698844461335675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Analise!$L$4:$L$9</c:f>
              <c:strCache>
                <c:ptCount val="5"/>
                <c:pt idx="0">
                  <c:v>Calça</c:v>
                </c:pt>
                <c:pt idx="1">
                  <c:v>Camisa</c:v>
                </c:pt>
                <c:pt idx="2">
                  <c:v>Relógio</c:v>
                </c:pt>
                <c:pt idx="3">
                  <c:v>Sapato</c:v>
                </c:pt>
                <c:pt idx="4">
                  <c:v>Tênis</c:v>
                </c:pt>
              </c:strCache>
            </c:strRef>
          </c:cat>
          <c:val>
            <c:numRef>
              <c:f>Analise!$M$4:$M$9</c:f>
              <c:numCache>
                <c:formatCode>_("R$"* #,##0.00_);_("R$"* \(#,##0.00\);_("R$"* "-"??_);_(@_)</c:formatCode>
                <c:ptCount val="5"/>
                <c:pt idx="0">
                  <c:v>1168.7</c:v>
                </c:pt>
                <c:pt idx="1">
                  <c:v>479.4</c:v>
                </c:pt>
                <c:pt idx="2">
                  <c:v>3000</c:v>
                </c:pt>
                <c:pt idx="3">
                  <c:v>1440</c:v>
                </c:pt>
                <c:pt idx="4">
                  <c:v>1715.88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2-40BD-90A6-1008A3ED08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7158975"/>
        <c:axId val="1531463407"/>
      </c:barChart>
      <c:catAx>
        <c:axId val="57715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463407"/>
        <c:crosses val="autoZero"/>
        <c:auto val="1"/>
        <c:lblAlgn val="ctr"/>
        <c:lblOffset val="100"/>
        <c:noMultiLvlLbl val="0"/>
      </c:catAx>
      <c:valAx>
        <c:axId val="15314634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7715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12057</xdr:colOff>
      <xdr:row>9</xdr:row>
      <xdr:rowOff>12055</xdr:rowOff>
    </xdr:from>
    <xdr:to>
      <xdr:col>8</xdr:col>
      <xdr:colOff>277310</xdr:colOff>
      <xdr:row>32</xdr:row>
      <xdr:rowOff>156740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4EC54E-E4C0-4520-835B-A69848502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292713</xdr:colOff>
      <xdr:row>9</xdr:row>
      <xdr:rowOff>21206</xdr:rowOff>
    </xdr:from>
    <xdr:to>
      <xdr:col>17</xdr:col>
      <xdr:colOff>0</xdr:colOff>
      <xdr:row>32</xdr:row>
      <xdr:rowOff>180853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16106E-8196-42BD-8349-748DDB1CE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25386</xdr:colOff>
      <xdr:row>9</xdr:row>
      <xdr:rowOff>64275</xdr:rowOff>
    </xdr:from>
    <xdr:to>
      <xdr:col>25</xdr:col>
      <xdr:colOff>48227</xdr:colOff>
      <xdr:row>22</xdr:row>
      <xdr:rowOff>12056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9856D34-7D41-4080-ACD8-8B808296F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24113</xdr:colOff>
      <xdr:row>3</xdr:row>
      <xdr:rowOff>12057</xdr:rowOff>
    </xdr:from>
    <xdr:to>
      <xdr:col>8</xdr:col>
      <xdr:colOff>361708</xdr:colOff>
      <xdr:row>9</xdr:row>
      <xdr:rowOff>24113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Funcionário">
              <a:extLst>
                <a:ext uri="{FF2B5EF4-FFF2-40B4-BE49-F238E27FC236}">
                  <a16:creationId xmlns:a16="http://schemas.microsoft.com/office/drawing/2014/main" id="{8E15D619-FD82-461D-96B6-B2C2142EAE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oná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13" y="590791"/>
              <a:ext cx="5256836" cy="116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357970</xdr:colOff>
      <xdr:row>3</xdr:row>
      <xdr:rowOff>4462</xdr:rowOff>
    </xdr:from>
    <xdr:to>
      <xdr:col>16</xdr:col>
      <xdr:colOff>482278</xdr:colOff>
      <xdr:row>9</xdr:row>
      <xdr:rowOff>24112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liente">
              <a:extLst>
                <a:ext uri="{FF2B5EF4-FFF2-40B4-BE49-F238E27FC236}">
                  <a16:creationId xmlns:a16="http://schemas.microsoft.com/office/drawing/2014/main" id="{01914EE8-7790-4F99-B3CC-B3DC0327F1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7211" y="583196"/>
              <a:ext cx="5043548" cy="11771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471668</xdr:colOff>
      <xdr:row>3</xdr:row>
      <xdr:rowOff>1</xdr:rowOff>
    </xdr:from>
    <xdr:to>
      <xdr:col>19</xdr:col>
      <xdr:colOff>605379</xdr:colOff>
      <xdr:row>9</xdr:row>
      <xdr:rowOff>48227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to vendido">
              <a:extLst>
                <a:ext uri="{FF2B5EF4-FFF2-40B4-BE49-F238E27FC236}">
                  <a16:creationId xmlns:a16="http://schemas.microsoft.com/office/drawing/2014/main" id="{891DD557-04FF-4FE1-8752-CE0BDF45FB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ven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0149" y="578735"/>
              <a:ext cx="1978426" cy="1205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17</xdr:col>
      <xdr:colOff>24113</xdr:colOff>
      <xdr:row>22</xdr:row>
      <xdr:rowOff>48228</xdr:rowOff>
    </xdr:from>
    <xdr:to>
      <xdr:col>25</xdr:col>
      <xdr:colOff>60283</xdr:colOff>
      <xdr:row>32</xdr:row>
      <xdr:rowOff>24113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C400798-A75C-4693-9160-A01A24F7E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Santos" refreshedDate="46301.79505439815" createdVersion="8" refreshedVersion="8" minRefreshableVersion="3" recordCount="55" xr:uid="{AD96162C-2CA7-4F2E-A968-1FBD63FC3282}">
  <cacheSource type="worksheet">
    <worksheetSource name="Tabela1"/>
  </cacheSource>
  <cacheFields count="6">
    <cacheField name="Funcionário" numFmtId="0">
      <sharedItems count="9">
        <s v="João Campos"/>
        <s v="José Oliveira"/>
        <s v="Maria Helena"/>
        <s v="Carla França"/>
        <s v="Moisés Ferreira"/>
        <s v="Aline Pereira"/>
        <s v="Tabata Moreira"/>
        <s v="Miguel Araujo"/>
        <s v="Paloma"/>
      </sharedItems>
    </cacheField>
    <cacheField name="Cliente" numFmtId="0">
      <sharedItems count="12">
        <s v="Elaine"/>
        <s v="José"/>
        <s v="Alvaro"/>
        <s v="Roberta"/>
        <s v="Alice"/>
        <s v="Carla"/>
        <s v="Monica"/>
        <s v="Thuany"/>
        <s v="Solange"/>
        <s v="Mia"/>
        <s v="Rose"/>
        <s v="Krissia"/>
      </sharedItems>
    </cacheField>
    <cacheField name="Produto vendido" numFmtId="0">
      <sharedItems count="5">
        <s v="Calça"/>
        <s v="Camisa"/>
        <s v="Relógio"/>
        <s v="Sapato"/>
        <s v="Tênis"/>
      </sharedItems>
    </cacheField>
    <cacheField name="Data" numFmtId="14">
      <sharedItems containsSemiMixedTypes="0" containsNonDate="0" containsDate="1" containsString="0" minDate="2000-05-16T00:00:00" maxDate="2020-09-18T00:00:00"/>
    </cacheField>
    <cacheField name="Quantidade" numFmtId="0">
      <sharedItems containsSemiMixedTypes="0" containsString="0" containsNumber="1" containsInteger="1" minValue="1" maxValue="12"/>
    </cacheField>
    <cacheField name="Total Vendas" numFmtId="44">
      <sharedItems containsSemiMixedTypes="0" containsString="0" containsNumber="1" minValue="79.900000000000006" maxValue="250"/>
    </cacheField>
  </cacheFields>
  <extLst>
    <ext xmlns:x14="http://schemas.microsoft.com/office/spreadsheetml/2009/9/main" uri="{725AE2AE-9491-48be-B2B4-4EB974FC3084}">
      <x14:pivotCacheDefinition pivotCacheId="17250493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  <x v="0"/>
    <d v="2019-09-12T00:00:00"/>
    <n v="1"/>
    <n v="89.9"/>
  </r>
  <r>
    <x v="1"/>
    <x v="1"/>
    <x v="0"/>
    <d v="2019-09-19T00:00:00"/>
    <n v="3"/>
    <n v="89.9"/>
  </r>
  <r>
    <x v="2"/>
    <x v="2"/>
    <x v="1"/>
    <d v="2019-09-26T00:00:00"/>
    <n v="5"/>
    <n v="79.900000000000006"/>
  </r>
  <r>
    <x v="3"/>
    <x v="3"/>
    <x v="2"/>
    <d v="2019-10-03T00:00:00"/>
    <n v="1"/>
    <n v="250"/>
  </r>
  <r>
    <x v="4"/>
    <x v="4"/>
    <x v="3"/>
    <d v="2019-10-10T00:00:00"/>
    <n v="4"/>
    <n v="120"/>
  </r>
  <r>
    <x v="5"/>
    <x v="5"/>
    <x v="4"/>
    <d v="2019-10-17T00:00:00"/>
    <n v="2"/>
    <n v="142.99"/>
  </r>
  <r>
    <x v="6"/>
    <x v="6"/>
    <x v="2"/>
    <d v="2019-10-24T00:00:00"/>
    <n v="1"/>
    <n v="250"/>
  </r>
  <r>
    <x v="7"/>
    <x v="0"/>
    <x v="3"/>
    <d v="2019-10-31T00:00:00"/>
    <n v="1"/>
    <n v="120"/>
  </r>
  <r>
    <x v="0"/>
    <x v="1"/>
    <x v="4"/>
    <d v="2019-11-07T00:00:00"/>
    <n v="5"/>
    <n v="142.99"/>
  </r>
  <r>
    <x v="1"/>
    <x v="2"/>
    <x v="0"/>
    <d v="2019-11-14T00:00:00"/>
    <n v="9"/>
    <n v="89.9"/>
  </r>
  <r>
    <x v="0"/>
    <x v="3"/>
    <x v="0"/>
    <d v="2019-11-21T00:00:00"/>
    <n v="1"/>
    <n v="89.9"/>
  </r>
  <r>
    <x v="1"/>
    <x v="4"/>
    <x v="1"/>
    <d v="2019-11-28T00:00:00"/>
    <n v="1"/>
    <n v="79.900000000000006"/>
  </r>
  <r>
    <x v="0"/>
    <x v="5"/>
    <x v="2"/>
    <d v="2019-12-05T00:00:00"/>
    <n v="1"/>
    <n v="250"/>
  </r>
  <r>
    <x v="1"/>
    <x v="6"/>
    <x v="3"/>
    <d v="2019-12-12T00:00:00"/>
    <n v="3"/>
    <n v="120"/>
  </r>
  <r>
    <x v="2"/>
    <x v="7"/>
    <x v="4"/>
    <d v="2019-12-19T00:00:00"/>
    <n v="1"/>
    <n v="142.99"/>
  </r>
  <r>
    <x v="3"/>
    <x v="8"/>
    <x v="2"/>
    <d v="2019-12-26T00:00:00"/>
    <n v="12"/>
    <n v="250"/>
  </r>
  <r>
    <x v="4"/>
    <x v="9"/>
    <x v="3"/>
    <d v="2020-01-02T00:00:00"/>
    <n v="1"/>
    <n v="120"/>
  </r>
  <r>
    <x v="5"/>
    <x v="10"/>
    <x v="4"/>
    <d v="2020-01-09T00:00:00"/>
    <n v="1"/>
    <n v="142.99"/>
  </r>
  <r>
    <x v="6"/>
    <x v="3"/>
    <x v="0"/>
    <d v="2020-01-16T00:00:00"/>
    <n v="1"/>
    <n v="89.9"/>
  </r>
  <r>
    <x v="7"/>
    <x v="0"/>
    <x v="0"/>
    <d v="2020-01-23T00:00:00"/>
    <n v="2"/>
    <n v="89.9"/>
  </r>
  <r>
    <x v="0"/>
    <x v="1"/>
    <x v="1"/>
    <d v="2020-01-30T00:00:00"/>
    <n v="1"/>
    <n v="79.900000000000006"/>
  </r>
  <r>
    <x v="1"/>
    <x v="2"/>
    <x v="2"/>
    <d v="2020-02-06T00:00:00"/>
    <n v="3"/>
    <n v="250"/>
  </r>
  <r>
    <x v="0"/>
    <x v="3"/>
    <x v="3"/>
    <d v="2020-02-13T00:00:00"/>
    <n v="1"/>
    <n v="120"/>
  </r>
  <r>
    <x v="1"/>
    <x v="4"/>
    <x v="4"/>
    <d v="2020-02-20T00:00:00"/>
    <n v="2"/>
    <n v="142.99"/>
  </r>
  <r>
    <x v="2"/>
    <x v="5"/>
    <x v="2"/>
    <d v="2020-02-27T00:00:00"/>
    <n v="1"/>
    <n v="250"/>
  </r>
  <r>
    <x v="3"/>
    <x v="6"/>
    <x v="3"/>
    <d v="2020-03-05T00:00:00"/>
    <n v="4"/>
    <n v="120"/>
  </r>
  <r>
    <x v="4"/>
    <x v="7"/>
    <x v="4"/>
    <d v="2020-03-12T00:00:00"/>
    <n v="1"/>
    <n v="142.99"/>
  </r>
  <r>
    <x v="0"/>
    <x v="8"/>
    <x v="0"/>
    <d v="2020-03-19T00:00:00"/>
    <n v="2"/>
    <n v="89.9"/>
  </r>
  <r>
    <x v="1"/>
    <x v="9"/>
    <x v="0"/>
    <d v="2020-03-26T00:00:00"/>
    <n v="1"/>
    <n v="89.9"/>
  </r>
  <r>
    <x v="2"/>
    <x v="10"/>
    <x v="1"/>
    <d v="2020-04-02T00:00:00"/>
    <n v="9"/>
    <n v="79.900000000000006"/>
  </r>
  <r>
    <x v="3"/>
    <x v="0"/>
    <x v="2"/>
    <d v="2020-04-09T00:00:00"/>
    <n v="1"/>
    <n v="250"/>
  </r>
  <r>
    <x v="4"/>
    <x v="1"/>
    <x v="3"/>
    <d v="2020-04-16T00:00:00"/>
    <n v="2"/>
    <n v="120"/>
  </r>
  <r>
    <x v="0"/>
    <x v="2"/>
    <x v="4"/>
    <d v="2020-04-23T00:00:00"/>
    <n v="1"/>
    <n v="142.99"/>
  </r>
  <r>
    <x v="1"/>
    <x v="3"/>
    <x v="2"/>
    <d v="2020-04-30T00:00:00"/>
    <n v="1"/>
    <n v="250"/>
  </r>
  <r>
    <x v="2"/>
    <x v="4"/>
    <x v="3"/>
    <d v="2020-05-07T00:00:00"/>
    <n v="2"/>
    <n v="120"/>
  </r>
  <r>
    <x v="3"/>
    <x v="5"/>
    <x v="4"/>
    <d v="2020-05-14T00:00:00"/>
    <n v="1"/>
    <n v="142.99"/>
  </r>
  <r>
    <x v="0"/>
    <x v="6"/>
    <x v="0"/>
    <d v="2020-05-21T00:00:00"/>
    <n v="4"/>
    <n v="89.9"/>
  </r>
  <r>
    <x v="1"/>
    <x v="7"/>
    <x v="0"/>
    <d v="2020-05-28T00:00:00"/>
    <n v="1"/>
    <n v="89.9"/>
  </r>
  <r>
    <x v="2"/>
    <x v="8"/>
    <x v="1"/>
    <d v="2020-06-04T00:00:00"/>
    <n v="1"/>
    <n v="79.900000000000006"/>
  </r>
  <r>
    <x v="0"/>
    <x v="9"/>
    <x v="2"/>
    <d v="2020-06-11T00:00:00"/>
    <n v="3"/>
    <n v="250"/>
  </r>
  <r>
    <x v="1"/>
    <x v="0"/>
    <x v="3"/>
    <d v="2020-06-18T00:00:00"/>
    <n v="1"/>
    <n v="120"/>
  </r>
  <r>
    <x v="0"/>
    <x v="1"/>
    <x v="4"/>
    <d v="2020-06-25T00:00:00"/>
    <n v="1"/>
    <n v="142.99"/>
  </r>
  <r>
    <x v="1"/>
    <x v="2"/>
    <x v="2"/>
    <d v="2020-07-02T00:00:00"/>
    <n v="2"/>
    <n v="250"/>
  </r>
  <r>
    <x v="2"/>
    <x v="0"/>
    <x v="3"/>
    <d v="2020-07-09T00:00:00"/>
    <n v="1"/>
    <n v="120"/>
  </r>
  <r>
    <x v="3"/>
    <x v="1"/>
    <x v="4"/>
    <d v="2020-07-16T00:00:00"/>
    <n v="4"/>
    <n v="142.99"/>
  </r>
  <r>
    <x v="4"/>
    <x v="2"/>
    <x v="0"/>
    <d v="2020-07-23T00:00:00"/>
    <n v="1"/>
    <n v="89.9"/>
  </r>
  <r>
    <x v="5"/>
    <x v="3"/>
    <x v="0"/>
    <d v="2020-07-30T00:00:00"/>
    <n v="1"/>
    <n v="89.9"/>
  </r>
  <r>
    <x v="6"/>
    <x v="4"/>
    <x v="1"/>
    <d v="2020-08-06T00:00:00"/>
    <n v="6"/>
    <n v="79.900000000000006"/>
  </r>
  <r>
    <x v="7"/>
    <x v="5"/>
    <x v="2"/>
    <d v="2020-08-13T00:00:00"/>
    <n v="1"/>
    <n v="250"/>
  </r>
  <r>
    <x v="0"/>
    <x v="6"/>
    <x v="3"/>
    <d v="2020-08-20T00:00:00"/>
    <n v="3"/>
    <n v="120"/>
  </r>
  <r>
    <x v="1"/>
    <x v="7"/>
    <x v="4"/>
    <d v="2020-08-27T00:00:00"/>
    <n v="2"/>
    <n v="142.99"/>
  </r>
  <r>
    <x v="2"/>
    <x v="8"/>
    <x v="2"/>
    <d v="2020-09-03T00:00:00"/>
    <n v="2"/>
    <n v="250"/>
  </r>
  <r>
    <x v="3"/>
    <x v="9"/>
    <x v="3"/>
    <d v="2020-09-10T00:00:00"/>
    <n v="1"/>
    <n v="120"/>
  </r>
  <r>
    <x v="4"/>
    <x v="10"/>
    <x v="4"/>
    <d v="2020-09-17T00:00:00"/>
    <n v="2"/>
    <n v="142.99"/>
  </r>
  <r>
    <x v="8"/>
    <x v="11"/>
    <x v="0"/>
    <d v="2000-05-16T00:00:00"/>
    <n v="7"/>
    <n v="8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43BA6-A1AD-4489-82B4-9934FE7E1A4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Vendedor">
  <location ref="A3:B13" firstHeaderRow="1" firstDataRow="1" firstDataCol="1"/>
  <pivotFields count="6">
    <pivotField axis="axisRow" showAll="0">
      <items count="10">
        <item x="5"/>
        <item x="3"/>
        <item x="0"/>
        <item x="1"/>
        <item x="2"/>
        <item x="7"/>
        <item x="4"/>
        <item x="8"/>
        <item x="6"/>
        <item t="default"/>
      </items>
    </pivotField>
    <pivotField showAll="0">
      <items count="13">
        <item x="4"/>
        <item x="2"/>
        <item x="5"/>
        <item x="0"/>
        <item x="1"/>
        <item x="11"/>
        <item x="9"/>
        <item x="6"/>
        <item x="3"/>
        <item x="10"/>
        <item x="8"/>
        <item x="7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dataField="1" numFmtId="44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tal Vendas" fld="5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Teste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1FB6E-7B81-47FC-A255-9463240DFAF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">
  <location ref="I3:J13" firstHeaderRow="1" firstDataRow="1" firstDataCol="1"/>
  <pivotFields count="6">
    <pivotField axis="axisRow" showAll="0">
      <items count="10">
        <item x="5"/>
        <item x="3"/>
        <item x="0"/>
        <item x="1"/>
        <item x="2"/>
        <item x="7"/>
        <item x="4"/>
        <item x="8"/>
        <item x="6"/>
        <item t="default"/>
      </items>
    </pivotField>
    <pivotField showAll="0">
      <items count="13">
        <item x="4"/>
        <item x="2"/>
        <item x="5"/>
        <item x="0"/>
        <item x="1"/>
        <item x="11"/>
        <item x="9"/>
        <item x="6"/>
        <item x="3"/>
        <item x="10"/>
        <item x="8"/>
        <item x="7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numFmtId="14" showAll="0"/>
    <pivotField dataField="1" showAll="0"/>
    <pivotField numFmtId="44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Quantidad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544CE-1BD2-4F94-B8A0-ADDE5A733B78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 rowHeaderCaption="Cliente">
  <location ref="E3:F16" firstHeaderRow="1" firstDataRow="1" firstDataCol="1"/>
  <pivotFields count="6">
    <pivotField showAll="0">
      <items count="10">
        <item x="5"/>
        <item x="3"/>
        <item x="0"/>
        <item x="1"/>
        <item x="2"/>
        <item x="7"/>
        <item x="4"/>
        <item x="8"/>
        <item x="6"/>
        <item t="default"/>
      </items>
    </pivotField>
    <pivotField axis="axisRow" showAll="0">
      <items count="13">
        <item x="4"/>
        <item x="2"/>
        <item x="5"/>
        <item x="0"/>
        <item x="1"/>
        <item x="11"/>
        <item x="9"/>
        <item x="6"/>
        <item x="3"/>
        <item x="10"/>
        <item x="8"/>
        <item x="7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dataField="1" numFmtId="4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Vendas" fld="5" baseField="0" baseItem="0" numFmtId="44"/>
  </dataFields>
  <chartFormats count="14"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2F290-DBAB-4F84-839A-7535D00D332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4" rowHeaderCaption="Cliente">
  <location ref="L3:M9" firstHeaderRow="1" firstDataRow="1" firstDataCol="1"/>
  <pivotFields count="6">
    <pivotField showAll="0">
      <items count="10">
        <item x="5"/>
        <item x="3"/>
        <item x="0"/>
        <item x="1"/>
        <item x="2"/>
        <item x="7"/>
        <item x="4"/>
        <item x="8"/>
        <item x="6"/>
        <item t="default"/>
      </items>
    </pivotField>
    <pivotField showAll="0">
      <items count="13">
        <item x="4"/>
        <item x="2"/>
        <item x="5"/>
        <item x="0"/>
        <item x="1"/>
        <item x="11"/>
        <item x="9"/>
        <item x="6"/>
        <item x="3"/>
        <item x="10"/>
        <item x="8"/>
        <item x="7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dataField="1" numFmtId="4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Vendas" fld="5" baseField="0" baseItem="0" numFmtId="44"/>
  </dataFields>
  <chartFormats count="4"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uncionário" xr10:uid="{77ED2E6E-1AD6-40C1-A3DC-7C222D32C480}" sourceName="Funcionário">
  <pivotTables>
    <pivotTable tabId="4" name="Tabela dinâmica1"/>
    <pivotTable tabId="4" name="Tabela dinâmica2"/>
    <pivotTable tabId="4" name="Tabela dinâmica3"/>
    <pivotTable tabId="4" name="Tabela dinâmica4"/>
  </pivotTables>
  <data>
    <tabular pivotCacheId="1725049303">
      <items count="9">
        <i x="5" s="1"/>
        <i x="3" s="1"/>
        <i x="0" s="1"/>
        <i x="1" s="1"/>
        <i x="2" s="1"/>
        <i x="7" s="1"/>
        <i x="4" s="1"/>
        <i x="8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7DC205B4-F661-4C4E-80A3-13365E2BBED3}" sourceName="Cliente">
  <pivotTables>
    <pivotTable tabId="4" name="Tabela dinâmica2"/>
    <pivotTable tabId="4" name="Tabela dinâmica1"/>
    <pivotTable tabId="4" name="Tabela dinâmica3"/>
    <pivotTable tabId="4" name="Tabela dinâmica4"/>
  </pivotTables>
  <data>
    <tabular pivotCacheId="1725049303">
      <items count="12">
        <i x="4" s="1"/>
        <i x="2" s="1"/>
        <i x="5" s="1"/>
        <i x="0" s="1"/>
        <i x="1" s="1"/>
        <i x="11" s="1"/>
        <i x="9" s="1"/>
        <i x="6" s="1"/>
        <i x="3" s="1"/>
        <i x="10" s="1"/>
        <i x="8" s="1"/>
        <i x="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_vendido" xr10:uid="{6A57B94C-E787-4500-9BB4-6575E10A6A83}" sourceName="Produto vendido">
  <pivotTables>
    <pivotTable tabId="4" name="Tabela dinâmica4"/>
    <pivotTable tabId="4" name="Tabela dinâmica1"/>
    <pivotTable tabId="4" name="Tabela dinâmica2"/>
    <pivotTable tabId="4" name="Tabela dinâmica3"/>
  </pivotTables>
  <data>
    <tabular pivotCacheId="1725049303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uncionário" xr10:uid="{49702E95-B3C6-4F5C-829D-2ED7A21026A8}" cache="SegmentaçãodeDados_Funcionário" caption="Funcionário" columnCount="4" style="SlicerStyleDark1" rowHeight="241300"/>
  <slicer name="Cliente" xr10:uid="{D55F9628-6C27-405A-8B3A-73014D92262C}" cache="SegmentaçãodeDados_Cliente" caption="Cliente" columnCount="4" style="SlicerStyleDark1" rowHeight="241300"/>
  <slicer name="Produto vendido" xr10:uid="{D731114A-A926-43D4-8391-D5F9D5218132}" cache="SegmentaçãodeDados_Produto_vendido" caption="Produto vendido" columnCount="2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4FCF9-E890-4D1B-AD47-56754DB2D505}" name="Tabela1" displayName="Tabela1" ref="A1:F56" totalsRowShown="0" headerRowDxfId="7" dataDxfId="6">
  <autoFilter ref="A1:F56" xr:uid="{0C7E4691-F34D-4E10-B073-F75B6FEE3E2A}"/>
  <tableColumns count="6">
    <tableColumn id="1" xr3:uid="{09F06B26-A0B7-44C1-9389-C6F500514745}" name="Funcionário" dataDxfId="5"/>
    <tableColumn id="2" xr3:uid="{224D0C00-90B2-42EC-B3A5-FF60434164A1}" name="Cliente" dataDxfId="4"/>
    <tableColumn id="3" xr3:uid="{42CD0DD3-0024-45F3-911E-83866D770C94}" name="Produto vendido" dataDxfId="3"/>
    <tableColumn id="4" xr3:uid="{95747037-C79B-4EFA-9344-65897F2CF682}" name="Data" dataDxfId="2"/>
    <tableColumn id="5" xr3:uid="{DF796A74-BEF8-4DC1-BBD1-310FA0A5DB93}" name="Quantidade" dataDxfId="1"/>
    <tableColumn id="6" xr3:uid="{2B66A87E-B978-421F-B8BA-FAD04D04C77D}" name="Total Vendas" dataDxfId="0" dataCellStyle="Moeda">
      <calculatedColumnFormula>_xlfn.XLOOKUP(Tabela1[[#This Row],[Produto vendido]],'Tabela de Preços'!A:A,'Tabela de Preços'!B:B)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6E86-5733-4AA6-8710-3D7A458B845A}">
  <dimension ref="A1:F56"/>
  <sheetViews>
    <sheetView workbookViewId="0">
      <selection activeCell="A2" sqref="A2:F56"/>
    </sheetView>
  </sheetViews>
  <sheetFormatPr defaultRowHeight="15" x14ac:dyDescent="0.25"/>
  <cols>
    <col min="1" max="2" width="17.28515625" customWidth="1"/>
    <col min="3" max="3" width="18.5703125" customWidth="1"/>
    <col min="4" max="4" width="13" style="1" customWidth="1"/>
    <col min="5" max="5" width="13.5703125" style="1" customWidth="1"/>
    <col min="6" max="6" width="14.7109375" style="5" bestFit="1" customWidth="1"/>
  </cols>
  <sheetData>
    <row r="1" spans="1:6" x14ac:dyDescent="0.25">
      <c r="A1" s="6" t="s">
        <v>18</v>
      </c>
      <c r="B1" s="6" t="s">
        <v>19</v>
      </c>
      <c r="C1" s="6" t="s">
        <v>7</v>
      </c>
      <c r="D1" s="6" t="s">
        <v>15</v>
      </c>
      <c r="E1" s="6" t="s">
        <v>17</v>
      </c>
      <c r="F1" s="12" t="s">
        <v>33</v>
      </c>
    </row>
    <row r="2" spans="1:6" x14ac:dyDescent="0.25">
      <c r="A2" s="9" t="s">
        <v>8</v>
      </c>
      <c r="B2" s="9" t="s">
        <v>20</v>
      </c>
      <c r="C2" s="7" t="s">
        <v>1</v>
      </c>
      <c r="D2" s="8">
        <v>43720</v>
      </c>
      <c r="E2" s="9">
        <v>1</v>
      </c>
      <c r="F2" s="12">
        <f>_xlfn.XLOOKUP(Tabela1[[#This Row],[Produto vendido]],'Tabela de Preços'!A:A,'Tabela de Preços'!B:B)</f>
        <v>89.9</v>
      </c>
    </row>
    <row r="3" spans="1:6" x14ac:dyDescent="0.25">
      <c r="A3" s="9" t="s">
        <v>9</v>
      </c>
      <c r="B3" s="9" t="s">
        <v>21</v>
      </c>
      <c r="C3" s="10" t="s">
        <v>1</v>
      </c>
      <c r="D3" s="8">
        <v>43727</v>
      </c>
      <c r="E3" s="9">
        <v>3</v>
      </c>
      <c r="F3" s="12">
        <f>_xlfn.XLOOKUP(Tabela1[[#This Row],[Produto vendido]],'Tabela de Preços'!A:A,'Tabela de Preços'!B:B)</f>
        <v>89.9</v>
      </c>
    </row>
    <row r="4" spans="1:6" x14ac:dyDescent="0.25">
      <c r="A4" s="9" t="s">
        <v>10</v>
      </c>
      <c r="B4" s="9" t="s">
        <v>22</v>
      </c>
      <c r="C4" s="10" t="s">
        <v>2</v>
      </c>
      <c r="D4" s="8">
        <v>43734</v>
      </c>
      <c r="E4" s="9">
        <v>5</v>
      </c>
      <c r="F4" s="12">
        <f>_xlfn.XLOOKUP(Tabela1[[#This Row],[Produto vendido]],'Tabela de Preços'!A:A,'Tabela de Preços'!B:B)</f>
        <v>79.900000000000006</v>
      </c>
    </row>
    <row r="5" spans="1:6" x14ac:dyDescent="0.25">
      <c r="A5" s="9" t="s">
        <v>11</v>
      </c>
      <c r="B5" s="9" t="s">
        <v>23</v>
      </c>
      <c r="C5" s="10" t="s">
        <v>3</v>
      </c>
      <c r="D5" s="8">
        <v>43741</v>
      </c>
      <c r="E5" s="9">
        <v>1</v>
      </c>
      <c r="F5" s="12">
        <f>_xlfn.XLOOKUP(Tabela1[[#This Row],[Produto vendido]],'Tabela de Preços'!A:A,'Tabela de Preços'!B:B)</f>
        <v>250</v>
      </c>
    </row>
    <row r="6" spans="1:6" x14ac:dyDescent="0.25">
      <c r="A6" s="9" t="s">
        <v>12</v>
      </c>
      <c r="B6" s="9" t="s">
        <v>24</v>
      </c>
      <c r="C6" s="10" t="s">
        <v>4</v>
      </c>
      <c r="D6" s="8">
        <v>43748</v>
      </c>
      <c r="E6" s="9">
        <v>4</v>
      </c>
      <c r="F6" s="12">
        <f>_xlfn.XLOOKUP(Tabela1[[#This Row],[Produto vendido]],'Tabela de Preços'!A:A,'Tabela de Preços'!B:B)</f>
        <v>120</v>
      </c>
    </row>
    <row r="7" spans="1:6" x14ac:dyDescent="0.25">
      <c r="A7" s="9" t="s">
        <v>13</v>
      </c>
      <c r="B7" s="9" t="s">
        <v>25</v>
      </c>
      <c r="C7" s="10" t="s">
        <v>5</v>
      </c>
      <c r="D7" s="8">
        <v>43755</v>
      </c>
      <c r="E7" s="9">
        <v>2</v>
      </c>
      <c r="F7" s="12">
        <f>_xlfn.XLOOKUP(Tabela1[[#This Row],[Produto vendido]],'Tabela de Preços'!A:A,'Tabela de Preços'!B:B)</f>
        <v>142.99</v>
      </c>
    </row>
    <row r="8" spans="1:6" x14ac:dyDescent="0.25">
      <c r="A8" s="9" t="s">
        <v>14</v>
      </c>
      <c r="B8" s="9" t="s">
        <v>26</v>
      </c>
      <c r="C8" s="10" t="s">
        <v>3</v>
      </c>
      <c r="D8" s="8">
        <v>43762</v>
      </c>
      <c r="E8" s="9">
        <v>1</v>
      </c>
      <c r="F8" s="12">
        <f>_xlfn.XLOOKUP(Tabela1[[#This Row],[Produto vendido]],'Tabela de Preços'!A:A,'Tabela de Preços'!B:B)</f>
        <v>250</v>
      </c>
    </row>
    <row r="9" spans="1:6" x14ac:dyDescent="0.25">
      <c r="A9" s="9" t="s">
        <v>16</v>
      </c>
      <c r="B9" s="9" t="s">
        <v>20</v>
      </c>
      <c r="C9" s="10" t="s">
        <v>4</v>
      </c>
      <c r="D9" s="8">
        <v>43769</v>
      </c>
      <c r="E9" s="9">
        <v>1</v>
      </c>
      <c r="F9" s="12">
        <f>_xlfn.XLOOKUP(Tabela1[[#This Row],[Produto vendido]],'Tabela de Preços'!A:A,'Tabela de Preços'!B:B)</f>
        <v>120</v>
      </c>
    </row>
    <row r="10" spans="1:6" x14ac:dyDescent="0.25">
      <c r="A10" s="9" t="s">
        <v>8</v>
      </c>
      <c r="B10" s="9" t="s">
        <v>21</v>
      </c>
      <c r="C10" s="10" t="s">
        <v>5</v>
      </c>
      <c r="D10" s="8">
        <v>43776</v>
      </c>
      <c r="E10" s="9">
        <v>5</v>
      </c>
      <c r="F10" s="12">
        <f>_xlfn.XLOOKUP(Tabela1[[#This Row],[Produto vendido]],'Tabela de Preços'!A:A,'Tabela de Preços'!B:B)</f>
        <v>142.99</v>
      </c>
    </row>
    <row r="11" spans="1:6" x14ac:dyDescent="0.25">
      <c r="A11" s="9" t="s">
        <v>9</v>
      </c>
      <c r="B11" s="9" t="s">
        <v>22</v>
      </c>
      <c r="C11" s="10" t="s">
        <v>1</v>
      </c>
      <c r="D11" s="8">
        <v>43783</v>
      </c>
      <c r="E11" s="9">
        <v>9</v>
      </c>
      <c r="F11" s="12">
        <f>_xlfn.XLOOKUP(Tabela1[[#This Row],[Produto vendido]],'Tabela de Preços'!A:A,'Tabela de Preços'!B:B)</f>
        <v>89.9</v>
      </c>
    </row>
    <row r="12" spans="1:6" x14ac:dyDescent="0.25">
      <c r="A12" s="9" t="s">
        <v>8</v>
      </c>
      <c r="B12" s="9" t="s">
        <v>23</v>
      </c>
      <c r="C12" s="10" t="s">
        <v>1</v>
      </c>
      <c r="D12" s="8">
        <v>43790</v>
      </c>
      <c r="E12" s="9">
        <v>1</v>
      </c>
      <c r="F12" s="12">
        <f>_xlfn.XLOOKUP(Tabela1[[#This Row],[Produto vendido]],'Tabela de Preços'!A:A,'Tabela de Preços'!B:B)</f>
        <v>89.9</v>
      </c>
    </row>
    <row r="13" spans="1:6" x14ac:dyDescent="0.25">
      <c r="A13" s="9" t="s">
        <v>9</v>
      </c>
      <c r="B13" s="9" t="s">
        <v>24</v>
      </c>
      <c r="C13" s="10" t="s">
        <v>2</v>
      </c>
      <c r="D13" s="8">
        <v>43797</v>
      </c>
      <c r="E13" s="9">
        <v>1</v>
      </c>
      <c r="F13" s="12">
        <f>_xlfn.XLOOKUP(Tabela1[[#This Row],[Produto vendido]],'Tabela de Preços'!A:A,'Tabela de Preços'!B:B)</f>
        <v>79.900000000000006</v>
      </c>
    </row>
    <row r="14" spans="1:6" x14ac:dyDescent="0.25">
      <c r="A14" s="9" t="s">
        <v>8</v>
      </c>
      <c r="B14" s="9" t="s">
        <v>25</v>
      </c>
      <c r="C14" s="10" t="s">
        <v>3</v>
      </c>
      <c r="D14" s="8">
        <v>43804</v>
      </c>
      <c r="E14" s="9">
        <v>1</v>
      </c>
      <c r="F14" s="12">
        <f>_xlfn.XLOOKUP(Tabela1[[#This Row],[Produto vendido]],'Tabela de Preços'!A:A,'Tabela de Preços'!B:B)</f>
        <v>250</v>
      </c>
    </row>
    <row r="15" spans="1:6" x14ac:dyDescent="0.25">
      <c r="A15" s="9" t="s">
        <v>9</v>
      </c>
      <c r="B15" s="9" t="s">
        <v>26</v>
      </c>
      <c r="C15" s="10" t="s">
        <v>4</v>
      </c>
      <c r="D15" s="8">
        <v>43811</v>
      </c>
      <c r="E15" s="9">
        <v>3</v>
      </c>
      <c r="F15" s="12">
        <f>_xlfn.XLOOKUP(Tabela1[[#This Row],[Produto vendido]],'Tabela de Preços'!A:A,'Tabela de Preços'!B:B)</f>
        <v>120</v>
      </c>
    </row>
    <row r="16" spans="1:6" x14ac:dyDescent="0.25">
      <c r="A16" s="9" t="s">
        <v>10</v>
      </c>
      <c r="B16" s="9" t="s">
        <v>27</v>
      </c>
      <c r="C16" s="10" t="s">
        <v>5</v>
      </c>
      <c r="D16" s="8">
        <v>43818</v>
      </c>
      <c r="E16" s="9">
        <v>1</v>
      </c>
      <c r="F16" s="12">
        <f>_xlfn.XLOOKUP(Tabela1[[#This Row],[Produto vendido]],'Tabela de Preços'!A:A,'Tabela de Preços'!B:B)</f>
        <v>142.99</v>
      </c>
    </row>
    <row r="17" spans="1:6" x14ac:dyDescent="0.25">
      <c r="A17" s="9" t="s">
        <v>11</v>
      </c>
      <c r="B17" s="9" t="s">
        <v>28</v>
      </c>
      <c r="C17" s="10" t="s">
        <v>3</v>
      </c>
      <c r="D17" s="8">
        <v>43825</v>
      </c>
      <c r="E17" s="9">
        <v>12</v>
      </c>
      <c r="F17" s="12">
        <f>_xlfn.XLOOKUP(Tabela1[[#This Row],[Produto vendido]],'Tabela de Preços'!A:A,'Tabela de Preços'!B:B)</f>
        <v>250</v>
      </c>
    </row>
    <row r="18" spans="1:6" x14ac:dyDescent="0.25">
      <c r="A18" s="9" t="s">
        <v>12</v>
      </c>
      <c r="B18" s="9" t="s">
        <v>29</v>
      </c>
      <c r="C18" s="10" t="s">
        <v>4</v>
      </c>
      <c r="D18" s="8">
        <v>43832</v>
      </c>
      <c r="E18" s="9">
        <v>1</v>
      </c>
      <c r="F18" s="12">
        <f>_xlfn.XLOOKUP(Tabela1[[#This Row],[Produto vendido]],'Tabela de Preços'!A:A,'Tabela de Preços'!B:B)</f>
        <v>120</v>
      </c>
    </row>
    <row r="19" spans="1:6" x14ac:dyDescent="0.25">
      <c r="A19" s="9" t="s">
        <v>13</v>
      </c>
      <c r="B19" s="9" t="s">
        <v>30</v>
      </c>
      <c r="C19" s="10" t="s">
        <v>5</v>
      </c>
      <c r="D19" s="8">
        <v>43839</v>
      </c>
      <c r="E19" s="9">
        <v>1</v>
      </c>
      <c r="F19" s="12">
        <f>_xlfn.XLOOKUP(Tabela1[[#This Row],[Produto vendido]],'Tabela de Preços'!A:A,'Tabela de Preços'!B:B)</f>
        <v>142.99</v>
      </c>
    </row>
    <row r="20" spans="1:6" x14ac:dyDescent="0.25">
      <c r="A20" s="9" t="s">
        <v>14</v>
      </c>
      <c r="B20" s="9" t="s">
        <v>23</v>
      </c>
      <c r="C20" s="10" t="s">
        <v>1</v>
      </c>
      <c r="D20" s="8">
        <v>43846</v>
      </c>
      <c r="E20" s="9">
        <v>1</v>
      </c>
      <c r="F20" s="12">
        <f>_xlfn.XLOOKUP(Tabela1[[#This Row],[Produto vendido]],'Tabela de Preços'!A:A,'Tabela de Preços'!B:B)</f>
        <v>89.9</v>
      </c>
    </row>
    <row r="21" spans="1:6" x14ac:dyDescent="0.25">
      <c r="A21" s="9" t="s">
        <v>16</v>
      </c>
      <c r="B21" s="9" t="s">
        <v>20</v>
      </c>
      <c r="C21" s="10" t="s">
        <v>1</v>
      </c>
      <c r="D21" s="8">
        <v>43853</v>
      </c>
      <c r="E21" s="9">
        <v>2</v>
      </c>
      <c r="F21" s="12">
        <f>_xlfn.XLOOKUP(Tabela1[[#This Row],[Produto vendido]],'Tabela de Preços'!A:A,'Tabela de Preços'!B:B)</f>
        <v>89.9</v>
      </c>
    </row>
    <row r="22" spans="1:6" x14ac:dyDescent="0.25">
      <c r="A22" s="9" t="s">
        <v>8</v>
      </c>
      <c r="B22" s="9" t="s">
        <v>21</v>
      </c>
      <c r="C22" s="10" t="s">
        <v>2</v>
      </c>
      <c r="D22" s="8">
        <v>43860</v>
      </c>
      <c r="E22" s="9">
        <v>1</v>
      </c>
      <c r="F22" s="12">
        <f>_xlfn.XLOOKUP(Tabela1[[#This Row],[Produto vendido]],'Tabela de Preços'!A:A,'Tabela de Preços'!B:B)</f>
        <v>79.900000000000006</v>
      </c>
    </row>
    <row r="23" spans="1:6" x14ac:dyDescent="0.25">
      <c r="A23" s="9" t="s">
        <v>9</v>
      </c>
      <c r="B23" s="9" t="s">
        <v>22</v>
      </c>
      <c r="C23" s="10" t="s">
        <v>3</v>
      </c>
      <c r="D23" s="8">
        <v>43867</v>
      </c>
      <c r="E23" s="9">
        <v>3</v>
      </c>
      <c r="F23" s="12">
        <f>_xlfn.XLOOKUP(Tabela1[[#This Row],[Produto vendido]],'Tabela de Preços'!A:A,'Tabela de Preços'!B:B)</f>
        <v>250</v>
      </c>
    </row>
    <row r="24" spans="1:6" x14ac:dyDescent="0.25">
      <c r="A24" s="9" t="s">
        <v>8</v>
      </c>
      <c r="B24" s="9" t="s">
        <v>23</v>
      </c>
      <c r="C24" s="10" t="s">
        <v>4</v>
      </c>
      <c r="D24" s="8">
        <v>43874</v>
      </c>
      <c r="E24" s="9">
        <v>1</v>
      </c>
      <c r="F24" s="12">
        <f>_xlfn.XLOOKUP(Tabela1[[#This Row],[Produto vendido]],'Tabela de Preços'!A:A,'Tabela de Preços'!B:B)</f>
        <v>120</v>
      </c>
    </row>
    <row r="25" spans="1:6" x14ac:dyDescent="0.25">
      <c r="A25" s="9" t="s">
        <v>9</v>
      </c>
      <c r="B25" s="9" t="s">
        <v>24</v>
      </c>
      <c r="C25" s="10" t="s">
        <v>5</v>
      </c>
      <c r="D25" s="8">
        <v>43881</v>
      </c>
      <c r="E25" s="9">
        <v>2</v>
      </c>
      <c r="F25" s="12">
        <f>_xlfn.XLOOKUP(Tabela1[[#This Row],[Produto vendido]],'Tabela de Preços'!A:A,'Tabela de Preços'!B:B)</f>
        <v>142.99</v>
      </c>
    </row>
    <row r="26" spans="1:6" x14ac:dyDescent="0.25">
      <c r="A26" s="9" t="s">
        <v>10</v>
      </c>
      <c r="B26" s="9" t="s">
        <v>25</v>
      </c>
      <c r="C26" s="10" t="s">
        <v>3</v>
      </c>
      <c r="D26" s="8">
        <v>43888</v>
      </c>
      <c r="E26" s="9">
        <v>1</v>
      </c>
      <c r="F26" s="12">
        <f>_xlfn.XLOOKUP(Tabela1[[#This Row],[Produto vendido]],'Tabela de Preços'!A:A,'Tabela de Preços'!B:B)</f>
        <v>250</v>
      </c>
    </row>
    <row r="27" spans="1:6" x14ac:dyDescent="0.25">
      <c r="A27" s="9" t="s">
        <v>11</v>
      </c>
      <c r="B27" s="9" t="s">
        <v>26</v>
      </c>
      <c r="C27" s="10" t="s">
        <v>4</v>
      </c>
      <c r="D27" s="8">
        <v>43895</v>
      </c>
      <c r="E27" s="9">
        <v>4</v>
      </c>
      <c r="F27" s="12">
        <f>_xlfn.XLOOKUP(Tabela1[[#This Row],[Produto vendido]],'Tabela de Preços'!A:A,'Tabela de Preços'!B:B)</f>
        <v>120</v>
      </c>
    </row>
    <row r="28" spans="1:6" x14ac:dyDescent="0.25">
      <c r="A28" s="9" t="s">
        <v>12</v>
      </c>
      <c r="B28" s="9" t="s">
        <v>27</v>
      </c>
      <c r="C28" s="10" t="s">
        <v>5</v>
      </c>
      <c r="D28" s="8">
        <v>43902</v>
      </c>
      <c r="E28" s="9">
        <v>1</v>
      </c>
      <c r="F28" s="12">
        <f>_xlfn.XLOOKUP(Tabela1[[#This Row],[Produto vendido]],'Tabela de Preços'!A:A,'Tabela de Preços'!B:B)</f>
        <v>142.99</v>
      </c>
    </row>
    <row r="29" spans="1:6" x14ac:dyDescent="0.25">
      <c r="A29" s="9" t="s">
        <v>8</v>
      </c>
      <c r="B29" s="9" t="s">
        <v>28</v>
      </c>
      <c r="C29" s="10" t="s">
        <v>1</v>
      </c>
      <c r="D29" s="8">
        <v>43909</v>
      </c>
      <c r="E29" s="9">
        <v>2</v>
      </c>
      <c r="F29" s="12">
        <f>_xlfn.XLOOKUP(Tabela1[[#This Row],[Produto vendido]],'Tabela de Preços'!A:A,'Tabela de Preços'!B:B)</f>
        <v>89.9</v>
      </c>
    </row>
    <row r="30" spans="1:6" x14ac:dyDescent="0.25">
      <c r="A30" s="9" t="s">
        <v>9</v>
      </c>
      <c r="B30" s="9" t="s">
        <v>29</v>
      </c>
      <c r="C30" s="10" t="s">
        <v>1</v>
      </c>
      <c r="D30" s="8">
        <v>43916</v>
      </c>
      <c r="E30" s="9">
        <v>1</v>
      </c>
      <c r="F30" s="12">
        <f>_xlfn.XLOOKUP(Tabela1[[#This Row],[Produto vendido]],'Tabela de Preços'!A:A,'Tabela de Preços'!B:B)</f>
        <v>89.9</v>
      </c>
    </row>
    <row r="31" spans="1:6" x14ac:dyDescent="0.25">
      <c r="A31" s="9" t="s">
        <v>10</v>
      </c>
      <c r="B31" s="9" t="s">
        <v>30</v>
      </c>
      <c r="C31" s="10" t="s">
        <v>2</v>
      </c>
      <c r="D31" s="8">
        <v>43923</v>
      </c>
      <c r="E31" s="9">
        <v>9</v>
      </c>
      <c r="F31" s="12">
        <f>_xlfn.XLOOKUP(Tabela1[[#This Row],[Produto vendido]],'Tabela de Preços'!A:A,'Tabela de Preços'!B:B)</f>
        <v>79.900000000000006</v>
      </c>
    </row>
    <row r="32" spans="1:6" x14ac:dyDescent="0.25">
      <c r="A32" s="9" t="s">
        <v>11</v>
      </c>
      <c r="B32" s="9" t="s">
        <v>20</v>
      </c>
      <c r="C32" s="10" t="s">
        <v>3</v>
      </c>
      <c r="D32" s="8">
        <v>43930</v>
      </c>
      <c r="E32" s="9">
        <v>1</v>
      </c>
      <c r="F32" s="12">
        <f>_xlfn.XLOOKUP(Tabela1[[#This Row],[Produto vendido]],'Tabela de Preços'!A:A,'Tabela de Preços'!B:B)</f>
        <v>250</v>
      </c>
    </row>
    <row r="33" spans="1:6" x14ac:dyDescent="0.25">
      <c r="A33" s="9" t="s">
        <v>12</v>
      </c>
      <c r="B33" s="9" t="s">
        <v>21</v>
      </c>
      <c r="C33" s="10" t="s">
        <v>4</v>
      </c>
      <c r="D33" s="8">
        <v>43937</v>
      </c>
      <c r="E33" s="9">
        <v>2</v>
      </c>
      <c r="F33" s="12">
        <f>_xlfn.XLOOKUP(Tabela1[[#This Row],[Produto vendido]],'Tabela de Preços'!A:A,'Tabela de Preços'!B:B)</f>
        <v>120</v>
      </c>
    </row>
    <row r="34" spans="1:6" x14ac:dyDescent="0.25">
      <c r="A34" s="9" t="s">
        <v>8</v>
      </c>
      <c r="B34" s="9" t="s">
        <v>22</v>
      </c>
      <c r="C34" s="10" t="s">
        <v>5</v>
      </c>
      <c r="D34" s="8">
        <v>43944</v>
      </c>
      <c r="E34" s="9">
        <v>1</v>
      </c>
      <c r="F34" s="12">
        <f>_xlfn.XLOOKUP(Tabela1[[#This Row],[Produto vendido]],'Tabela de Preços'!A:A,'Tabela de Preços'!B:B)</f>
        <v>142.99</v>
      </c>
    </row>
    <row r="35" spans="1:6" x14ac:dyDescent="0.25">
      <c r="A35" s="9" t="s">
        <v>9</v>
      </c>
      <c r="B35" s="9" t="s">
        <v>23</v>
      </c>
      <c r="C35" s="10" t="s">
        <v>3</v>
      </c>
      <c r="D35" s="8">
        <v>43951</v>
      </c>
      <c r="E35" s="9">
        <v>1</v>
      </c>
      <c r="F35" s="12">
        <f>_xlfn.XLOOKUP(Tabela1[[#This Row],[Produto vendido]],'Tabela de Preços'!A:A,'Tabela de Preços'!B:B)</f>
        <v>250</v>
      </c>
    </row>
    <row r="36" spans="1:6" x14ac:dyDescent="0.25">
      <c r="A36" s="9" t="s">
        <v>10</v>
      </c>
      <c r="B36" s="9" t="s">
        <v>24</v>
      </c>
      <c r="C36" s="10" t="s">
        <v>4</v>
      </c>
      <c r="D36" s="8">
        <v>43958</v>
      </c>
      <c r="E36" s="9">
        <v>2</v>
      </c>
      <c r="F36" s="12">
        <f>_xlfn.XLOOKUP(Tabela1[[#This Row],[Produto vendido]],'Tabela de Preços'!A:A,'Tabela de Preços'!B:B)</f>
        <v>120</v>
      </c>
    </row>
    <row r="37" spans="1:6" x14ac:dyDescent="0.25">
      <c r="A37" s="9" t="s">
        <v>11</v>
      </c>
      <c r="B37" s="9" t="s">
        <v>25</v>
      </c>
      <c r="C37" s="10" t="s">
        <v>5</v>
      </c>
      <c r="D37" s="8">
        <v>43965</v>
      </c>
      <c r="E37" s="9">
        <v>1</v>
      </c>
      <c r="F37" s="12">
        <f>_xlfn.XLOOKUP(Tabela1[[#This Row],[Produto vendido]],'Tabela de Preços'!A:A,'Tabela de Preços'!B:B)</f>
        <v>142.99</v>
      </c>
    </row>
    <row r="38" spans="1:6" x14ac:dyDescent="0.25">
      <c r="A38" s="9" t="s">
        <v>8</v>
      </c>
      <c r="B38" s="9" t="s">
        <v>26</v>
      </c>
      <c r="C38" s="10" t="s">
        <v>1</v>
      </c>
      <c r="D38" s="8">
        <v>43972</v>
      </c>
      <c r="E38" s="9">
        <v>4</v>
      </c>
      <c r="F38" s="12">
        <f>_xlfn.XLOOKUP(Tabela1[[#This Row],[Produto vendido]],'Tabela de Preços'!A:A,'Tabela de Preços'!B:B)</f>
        <v>89.9</v>
      </c>
    </row>
    <row r="39" spans="1:6" x14ac:dyDescent="0.25">
      <c r="A39" s="9" t="s">
        <v>9</v>
      </c>
      <c r="B39" s="9" t="s">
        <v>27</v>
      </c>
      <c r="C39" s="10" t="s">
        <v>1</v>
      </c>
      <c r="D39" s="8">
        <v>43979</v>
      </c>
      <c r="E39" s="9">
        <v>1</v>
      </c>
      <c r="F39" s="12">
        <f>_xlfn.XLOOKUP(Tabela1[[#This Row],[Produto vendido]],'Tabela de Preços'!A:A,'Tabela de Preços'!B:B)</f>
        <v>89.9</v>
      </c>
    </row>
    <row r="40" spans="1:6" x14ac:dyDescent="0.25">
      <c r="A40" s="9" t="s">
        <v>10</v>
      </c>
      <c r="B40" s="9" t="s">
        <v>28</v>
      </c>
      <c r="C40" s="10" t="s">
        <v>2</v>
      </c>
      <c r="D40" s="8">
        <v>43986</v>
      </c>
      <c r="E40" s="9">
        <v>1</v>
      </c>
      <c r="F40" s="12">
        <f>_xlfn.XLOOKUP(Tabela1[[#This Row],[Produto vendido]],'Tabela de Preços'!A:A,'Tabela de Preços'!B:B)</f>
        <v>79.900000000000006</v>
      </c>
    </row>
    <row r="41" spans="1:6" x14ac:dyDescent="0.25">
      <c r="A41" s="9" t="s">
        <v>8</v>
      </c>
      <c r="B41" s="9" t="s">
        <v>29</v>
      </c>
      <c r="C41" s="10" t="s">
        <v>3</v>
      </c>
      <c r="D41" s="8">
        <v>43993</v>
      </c>
      <c r="E41" s="9">
        <v>3</v>
      </c>
      <c r="F41" s="12">
        <f>_xlfn.XLOOKUP(Tabela1[[#This Row],[Produto vendido]],'Tabela de Preços'!A:A,'Tabela de Preços'!B:B)</f>
        <v>250</v>
      </c>
    </row>
    <row r="42" spans="1:6" x14ac:dyDescent="0.25">
      <c r="A42" s="9" t="s">
        <v>9</v>
      </c>
      <c r="B42" s="9" t="s">
        <v>20</v>
      </c>
      <c r="C42" s="10" t="s">
        <v>4</v>
      </c>
      <c r="D42" s="8">
        <v>44000</v>
      </c>
      <c r="E42" s="9">
        <v>1</v>
      </c>
      <c r="F42" s="12">
        <f>_xlfn.XLOOKUP(Tabela1[[#This Row],[Produto vendido]],'Tabela de Preços'!A:A,'Tabela de Preços'!B:B)</f>
        <v>120</v>
      </c>
    </row>
    <row r="43" spans="1:6" x14ac:dyDescent="0.25">
      <c r="A43" s="9" t="s">
        <v>8</v>
      </c>
      <c r="B43" s="9" t="s">
        <v>21</v>
      </c>
      <c r="C43" s="10" t="s">
        <v>5</v>
      </c>
      <c r="D43" s="8">
        <v>44007</v>
      </c>
      <c r="E43" s="9">
        <v>1</v>
      </c>
      <c r="F43" s="12">
        <f>_xlfn.XLOOKUP(Tabela1[[#This Row],[Produto vendido]],'Tabela de Preços'!A:A,'Tabela de Preços'!B:B)</f>
        <v>142.99</v>
      </c>
    </row>
    <row r="44" spans="1:6" x14ac:dyDescent="0.25">
      <c r="A44" s="9" t="s">
        <v>9</v>
      </c>
      <c r="B44" s="9" t="s">
        <v>22</v>
      </c>
      <c r="C44" s="10" t="s">
        <v>3</v>
      </c>
      <c r="D44" s="8">
        <v>44014</v>
      </c>
      <c r="E44" s="9">
        <v>2</v>
      </c>
      <c r="F44" s="12">
        <f>_xlfn.XLOOKUP(Tabela1[[#This Row],[Produto vendido]],'Tabela de Preços'!A:A,'Tabela de Preços'!B:B)</f>
        <v>250</v>
      </c>
    </row>
    <row r="45" spans="1:6" x14ac:dyDescent="0.25">
      <c r="A45" s="9" t="s">
        <v>10</v>
      </c>
      <c r="B45" s="9" t="s">
        <v>20</v>
      </c>
      <c r="C45" s="10" t="s">
        <v>4</v>
      </c>
      <c r="D45" s="8">
        <v>44021</v>
      </c>
      <c r="E45" s="9">
        <v>1</v>
      </c>
      <c r="F45" s="12">
        <f>_xlfn.XLOOKUP(Tabela1[[#This Row],[Produto vendido]],'Tabela de Preços'!A:A,'Tabela de Preços'!B:B)</f>
        <v>120</v>
      </c>
    </row>
    <row r="46" spans="1:6" x14ac:dyDescent="0.25">
      <c r="A46" s="9" t="s">
        <v>11</v>
      </c>
      <c r="B46" s="9" t="s">
        <v>21</v>
      </c>
      <c r="C46" s="10" t="s">
        <v>5</v>
      </c>
      <c r="D46" s="8">
        <v>44028</v>
      </c>
      <c r="E46" s="9">
        <v>4</v>
      </c>
      <c r="F46" s="12">
        <f>_xlfn.XLOOKUP(Tabela1[[#This Row],[Produto vendido]],'Tabela de Preços'!A:A,'Tabela de Preços'!B:B)</f>
        <v>142.99</v>
      </c>
    </row>
    <row r="47" spans="1:6" x14ac:dyDescent="0.25">
      <c r="A47" s="9" t="s">
        <v>12</v>
      </c>
      <c r="B47" s="9" t="s">
        <v>22</v>
      </c>
      <c r="C47" s="10" t="s">
        <v>1</v>
      </c>
      <c r="D47" s="8">
        <v>44035</v>
      </c>
      <c r="E47" s="9">
        <v>1</v>
      </c>
      <c r="F47" s="12">
        <f>_xlfn.XLOOKUP(Tabela1[[#This Row],[Produto vendido]],'Tabela de Preços'!A:A,'Tabela de Preços'!B:B)</f>
        <v>89.9</v>
      </c>
    </row>
    <row r="48" spans="1:6" x14ac:dyDescent="0.25">
      <c r="A48" s="9" t="s">
        <v>13</v>
      </c>
      <c r="B48" s="9" t="s">
        <v>23</v>
      </c>
      <c r="C48" s="10" t="s">
        <v>1</v>
      </c>
      <c r="D48" s="8">
        <v>44042</v>
      </c>
      <c r="E48" s="9">
        <v>1</v>
      </c>
      <c r="F48" s="12">
        <f>_xlfn.XLOOKUP(Tabela1[[#This Row],[Produto vendido]],'Tabela de Preços'!A:A,'Tabela de Preços'!B:B)</f>
        <v>89.9</v>
      </c>
    </row>
    <row r="49" spans="1:6" x14ac:dyDescent="0.25">
      <c r="A49" s="9" t="s">
        <v>14</v>
      </c>
      <c r="B49" s="9" t="s">
        <v>24</v>
      </c>
      <c r="C49" s="10" t="s">
        <v>2</v>
      </c>
      <c r="D49" s="8">
        <v>44049</v>
      </c>
      <c r="E49" s="9">
        <v>6</v>
      </c>
      <c r="F49" s="12">
        <f>_xlfn.XLOOKUP(Tabela1[[#This Row],[Produto vendido]],'Tabela de Preços'!A:A,'Tabela de Preços'!B:B)</f>
        <v>79.900000000000006</v>
      </c>
    </row>
    <row r="50" spans="1:6" x14ac:dyDescent="0.25">
      <c r="A50" s="9" t="s">
        <v>16</v>
      </c>
      <c r="B50" s="9" t="s">
        <v>25</v>
      </c>
      <c r="C50" s="10" t="s">
        <v>3</v>
      </c>
      <c r="D50" s="8">
        <v>44056</v>
      </c>
      <c r="E50" s="9">
        <v>1</v>
      </c>
      <c r="F50" s="12">
        <f>_xlfn.XLOOKUP(Tabela1[[#This Row],[Produto vendido]],'Tabela de Preços'!A:A,'Tabela de Preços'!B:B)</f>
        <v>250</v>
      </c>
    </row>
    <row r="51" spans="1:6" x14ac:dyDescent="0.25">
      <c r="A51" s="9" t="s">
        <v>8</v>
      </c>
      <c r="B51" s="9" t="s">
        <v>26</v>
      </c>
      <c r="C51" s="10" t="s">
        <v>4</v>
      </c>
      <c r="D51" s="8">
        <v>44063</v>
      </c>
      <c r="E51" s="9">
        <v>3</v>
      </c>
      <c r="F51" s="12">
        <f>_xlfn.XLOOKUP(Tabela1[[#This Row],[Produto vendido]],'Tabela de Preços'!A:A,'Tabela de Preços'!B:B)</f>
        <v>120</v>
      </c>
    </row>
    <row r="52" spans="1:6" x14ac:dyDescent="0.25">
      <c r="A52" s="9" t="s">
        <v>9</v>
      </c>
      <c r="B52" s="9" t="s">
        <v>27</v>
      </c>
      <c r="C52" s="10" t="s">
        <v>5</v>
      </c>
      <c r="D52" s="8">
        <v>44070</v>
      </c>
      <c r="E52" s="9">
        <v>2</v>
      </c>
      <c r="F52" s="12">
        <f>_xlfn.XLOOKUP(Tabela1[[#This Row],[Produto vendido]],'Tabela de Preços'!A:A,'Tabela de Preços'!B:B)</f>
        <v>142.99</v>
      </c>
    </row>
    <row r="53" spans="1:6" x14ac:dyDescent="0.25">
      <c r="A53" s="9" t="s">
        <v>10</v>
      </c>
      <c r="B53" s="9" t="s">
        <v>28</v>
      </c>
      <c r="C53" s="10" t="s">
        <v>3</v>
      </c>
      <c r="D53" s="8">
        <v>44077</v>
      </c>
      <c r="E53" s="9">
        <v>2</v>
      </c>
      <c r="F53" s="12">
        <f>_xlfn.XLOOKUP(Tabela1[[#This Row],[Produto vendido]],'Tabela de Preços'!A:A,'Tabela de Preços'!B:B)</f>
        <v>250</v>
      </c>
    </row>
    <row r="54" spans="1:6" x14ac:dyDescent="0.25">
      <c r="A54" s="9" t="s">
        <v>11</v>
      </c>
      <c r="B54" s="9" t="s">
        <v>29</v>
      </c>
      <c r="C54" s="10" t="s">
        <v>4</v>
      </c>
      <c r="D54" s="8">
        <v>44084</v>
      </c>
      <c r="E54" s="9">
        <v>1</v>
      </c>
      <c r="F54" s="12">
        <f>_xlfn.XLOOKUP(Tabela1[[#This Row],[Produto vendido]],'Tabela de Preços'!A:A,'Tabela de Preços'!B:B)</f>
        <v>120</v>
      </c>
    </row>
    <row r="55" spans="1:6" x14ac:dyDescent="0.25">
      <c r="A55" s="9" t="s">
        <v>12</v>
      </c>
      <c r="B55" s="9" t="s">
        <v>30</v>
      </c>
      <c r="C55" s="10" t="s">
        <v>5</v>
      </c>
      <c r="D55" s="8">
        <v>44091</v>
      </c>
      <c r="E55" s="9">
        <v>2</v>
      </c>
      <c r="F55" s="12">
        <f>_xlfn.XLOOKUP(Tabela1[[#This Row],[Produto vendido]],'Tabela de Preços'!A:A,'Tabela de Preços'!B:B)</f>
        <v>142.99</v>
      </c>
    </row>
    <row r="56" spans="1:6" x14ac:dyDescent="0.25">
      <c r="A56" s="9" t="s">
        <v>31</v>
      </c>
      <c r="B56" s="9" t="s">
        <v>32</v>
      </c>
      <c r="C56" s="11" t="s">
        <v>1</v>
      </c>
      <c r="D56" s="8">
        <v>36662</v>
      </c>
      <c r="E56" s="9">
        <v>7</v>
      </c>
      <c r="F56" s="12">
        <f>_xlfn.XLOOKUP(Tabela1[[#This Row],[Produto vendido]],'Tabela de Preços'!A:A,'Tabela de Preços'!B:B)</f>
        <v>89.9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7351-9FB4-4938-9760-5995EABDC7A3}">
  <dimension ref="A1:B6"/>
  <sheetViews>
    <sheetView showGridLines="0" workbookViewId="0">
      <selection activeCell="A2" sqref="A2:F56"/>
    </sheetView>
  </sheetViews>
  <sheetFormatPr defaultRowHeight="15" x14ac:dyDescent="0.25"/>
  <cols>
    <col min="1" max="1" width="9.140625" style="1"/>
    <col min="2" max="2" width="13.7109375" style="1" bestFit="1" customWidth="1"/>
  </cols>
  <sheetData>
    <row r="1" spans="1:2" x14ac:dyDescent="0.25">
      <c r="A1" s="2" t="s">
        <v>0</v>
      </c>
      <c r="B1" s="2" t="s">
        <v>6</v>
      </c>
    </row>
    <row r="2" spans="1:2" x14ac:dyDescent="0.25">
      <c r="A2" s="3" t="s">
        <v>1</v>
      </c>
      <c r="B2" s="4">
        <v>89.9</v>
      </c>
    </row>
    <row r="3" spans="1:2" x14ac:dyDescent="0.25">
      <c r="A3" s="3" t="s">
        <v>2</v>
      </c>
      <c r="B3" s="4">
        <v>79.900000000000006</v>
      </c>
    </row>
    <row r="4" spans="1:2" x14ac:dyDescent="0.25">
      <c r="A4" s="3" t="s">
        <v>3</v>
      </c>
      <c r="B4" s="4">
        <v>250</v>
      </c>
    </row>
    <row r="5" spans="1:2" x14ac:dyDescent="0.25">
      <c r="A5" s="3" t="s">
        <v>4</v>
      </c>
      <c r="B5" s="4">
        <v>120</v>
      </c>
    </row>
    <row r="6" spans="1:2" x14ac:dyDescent="0.25">
      <c r="A6" s="3" t="s">
        <v>5</v>
      </c>
      <c r="B6" s="4">
        <v>142.99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4370-848F-47DE-B26F-2186A4BF81AD}">
  <dimension ref="A3:M16"/>
  <sheetViews>
    <sheetView workbookViewId="0">
      <selection activeCell="A2" sqref="A2:F56"/>
    </sheetView>
  </sheetViews>
  <sheetFormatPr defaultRowHeight="15" x14ac:dyDescent="0.25"/>
  <cols>
    <col min="1" max="1" width="14.85546875" bestFit="1" customWidth="1"/>
    <col min="2" max="2" width="12.42578125" bestFit="1" customWidth="1"/>
    <col min="3" max="3" width="19.7109375" bestFit="1" customWidth="1"/>
    <col min="5" max="5" width="10.7109375" bestFit="1" customWidth="1"/>
    <col min="6" max="6" width="12.42578125" bestFit="1" customWidth="1"/>
    <col min="9" max="9" width="14.85546875" bestFit="1" customWidth="1"/>
    <col min="10" max="11" width="19.7109375" bestFit="1" customWidth="1"/>
    <col min="12" max="12" width="10.7109375" bestFit="1" customWidth="1"/>
    <col min="13" max="13" width="12.42578125" bestFit="1" customWidth="1"/>
  </cols>
  <sheetData>
    <row r="3" spans="1:13" x14ac:dyDescent="0.25">
      <c r="A3" s="13" t="s">
        <v>36</v>
      </c>
      <c r="B3" t="s">
        <v>33</v>
      </c>
      <c r="E3" s="13" t="s">
        <v>19</v>
      </c>
      <c r="F3" t="s">
        <v>33</v>
      </c>
      <c r="I3" s="13" t="s">
        <v>19</v>
      </c>
      <c r="J3" t="s">
        <v>35</v>
      </c>
      <c r="L3" s="13" t="s">
        <v>19</v>
      </c>
      <c r="M3" t="s">
        <v>33</v>
      </c>
    </row>
    <row r="4" spans="1:13" x14ac:dyDescent="0.25">
      <c r="A4" s="14" t="s">
        <v>13</v>
      </c>
      <c r="B4" s="15">
        <v>375.88</v>
      </c>
      <c r="E4" s="14" t="s">
        <v>24</v>
      </c>
      <c r="F4" s="15">
        <v>542.79</v>
      </c>
      <c r="I4" s="14" t="s">
        <v>13</v>
      </c>
      <c r="J4">
        <v>4</v>
      </c>
      <c r="L4" s="14" t="s">
        <v>1</v>
      </c>
      <c r="M4" s="15">
        <v>1168.7</v>
      </c>
    </row>
    <row r="5" spans="1:13" x14ac:dyDescent="0.25">
      <c r="A5" s="14" t="s">
        <v>11</v>
      </c>
      <c r="B5" s="15">
        <v>1275.98</v>
      </c>
      <c r="E5" s="14" t="s">
        <v>22</v>
      </c>
      <c r="F5" s="15">
        <v>902.68999999999994</v>
      </c>
      <c r="I5" s="14" t="s">
        <v>11</v>
      </c>
      <c r="J5">
        <v>24</v>
      </c>
      <c r="L5" s="14" t="s">
        <v>2</v>
      </c>
      <c r="M5" s="15">
        <v>479.4</v>
      </c>
    </row>
    <row r="6" spans="1:13" x14ac:dyDescent="0.25">
      <c r="A6" s="14" t="s">
        <v>8</v>
      </c>
      <c r="B6" s="15">
        <v>1608.47</v>
      </c>
      <c r="E6" s="14" t="s">
        <v>25</v>
      </c>
      <c r="F6" s="15">
        <v>1035.98</v>
      </c>
      <c r="I6" s="14" t="s">
        <v>8</v>
      </c>
      <c r="J6">
        <v>24</v>
      </c>
      <c r="L6" s="14" t="s">
        <v>3</v>
      </c>
      <c r="M6" s="15">
        <v>3000</v>
      </c>
    </row>
    <row r="7" spans="1:13" x14ac:dyDescent="0.25">
      <c r="A7" s="14" t="s">
        <v>9</v>
      </c>
      <c r="B7" s="15">
        <v>1715.4800000000002</v>
      </c>
      <c r="E7" s="14" t="s">
        <v>20</v>
      </c>
      <c r="F7" s="15">
        <v>789.8</v>
      </c>
      <c r="I7" s="14" t="s">
        <v>9</v>
      </c>
      <c r="J7">
        <v>29</v>
      </c>
      <c r="L7" s="14" t="s">
        <v>4</v>
      </c>
      <c r="M7" s="15">
        <v>1440</v>
      </c>
    </row>
    <row r="8" spans="1:13" x14ac:dyDescent="0.25">
      <c r="A8" s="14" t="s">
        <v>10</v>
      </c>
      <c r="B8" s="15">
        <v>1122.69</v>
      </c>
      <c r="E8" s="14" t="s">
        <v>21</v>
      </c>
      <c r="F8" s="15">
        <v>718.77</v>
      </c>
      <c r="I8" s="14" t="s">
        <v>10</v>
      </c>
      <c r="J8">
        <v>22</v>
      </c>
      <c r="L8" s="14" t="s">
        <v>5</v>
      </c>
      <c r="M8" s="15">
        <v>1715.88</v>
      </c>
    </row>
    <row r="9" spans="1:13" x14ac:dyDescent="0.25">
      <c r="A9" s="14" t="s">
        <v>16</v>
      </c>
      <c r="B9" s="15">
        <v>459.9</v>
      </c>
      <c r="E9" s="14" t="s">
        <v>32</v>
      </c>
      <c r="F9" s="15">
        <v>89.9</v>
      </c>
      <c r="I9" s="14" t="s">
        <v>16</v>
      </c>
      <c r="J9">
        <v>4</v>
      </c>
      <c r="L9" s="14" t="s">
        <v>34</v>
      </c>
      <c r="M9" s="15">
        <v>7803.9800000000005</v>
      </c>
    </row>
    <row r="10" spans="1:13" x14ac:dyDescent="0.25">
      <c r="A10" s="14" t="s">
        <v>12</v>
      </c>
      <c r="B10" s="15">
        <v>735.88</v>
      </c>
      <c r="E10" s="14" t="s">
        <v>29</v>
      </c>
      <c r="F10" s="15">
        <v>579.9</v>
      </c>
      <c r="I10" s="14" t="s">
        <v>12</v>
      </c>
      <c r="J10">
        <v>11</v>
      </c>
    </row>
    <row r="11" spans="1:13" x14ac:dyDescent="0.25">
      <c r="A11" s="14" t="s">
        <v>31</v>
      </c>
      <c r="B11" s="15">
        <v>89.9</v>
      </c>
      <c r="E11" s="14" t="s">
        <v>26</v>
      </c>
      <c r="F11" s="15">
        <v>699.9</v>
      </c>
      <c r="I11" s="14" t="s">
        <v>31</v>
      </c>
      <c r="J11">
        <v>7</v>
      </c>
    </row>
    <row r="12" spans="1:13" x14ac:dyDescent="0.25">
      <c r="A12" s="14" t="s">
        <v>14</v>
      </c>
      <c r="B12" s="15">
        <v>419.79999999999995</v>
      </c>
      <c r="E12" s="14" t="s">
        <v>23</v>
      </c>
      <c r="F12" s="15">
        <v>889.69999999999993</v>
      </c>
      <c r="I12" s="14" t="s">
        <v>14</v>
      </c>
      <c r="J12">
        <v>8</v>
      </c>
    </row>
    <row r="13" spans="1:13" x14ac:dyDescent="0.25">
      <c r="A13" s="14" t="s">
        <v>34</v>
      </c>
      <c r="B13" s="15">
        <v>7803.98</v>
      </c>
      <c r="E13" s="14" t="s">
        <v>30</v>
      </c>
      <c r="F13" s="15">
        <v>365.88</v>
      </c>
      <c r="I13" s="14" t="s">
        <v>34</v>
      </c>
      <c r="J13">
        <v>133</v>
      </c>
    </row>
    <row r="14" spans="1:13" x14ac:dyDescent="0.25">
      <c r="E14" s="14" t="s">
        <v>28</v>
      </c>
      <c r="F14" s="15">
        <v>669.8</v>
      </c>
    </row>
    <row r="15" spans="1:13" x14ac:dyDescent="0.25">
      <c r="E15" s="14" t="s">
        <v>27</v>
      </c>
      <c r="F15" s="15">
        <v>518.87</v>
      </c>
    </row>
    <row r="16" spans="1:13" x14ac:dyDescent="0.25">
      <c r="E16" s="14" t="s">
        <v>34</v>
      </c>
      <c r="F16" s="15">
        <v>7803.98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0F7B-0457-49B5-A81C-4021CE124808}">
  <dimension ref="A1:AA36"/>
  <sheetViews>
    <sheetView showGridLines="0" tabSelected="1" zoomScale="79" zoomScaleNormal="100" workbookViewId="0">
      <selection activeCell="A7" sqref="A7"/>
    </sheetView>
  </sheetViews>
  <sheetFormatPr defaultColWidth="0" defaultRowHeight="15" zeroHeight="1" x14ac:dyDescent="0.25"/>
  <cols>
    <col min="1" max="26" width="9.140625" customWidth="1"/>
    <col min="27" max="16384" width="9.140625" hidden="1"/>
  </cols>
  <sheetData>
    <row r="1" spans="1:27" ht="15" customHeight="1" x14ac:dyDescent="0.25">
      <c r="A1" s="18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  <c r="AA1" s="16"/>
    </row>
    <row r="2" spans="1:27" ht="15" customHeight="1" x14ac:dyDescent="0.2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3"/>
      <c r="AA2" s="16"/>
    </row>
    <row r="3" spans="1:27" ht="15" customHeight="1" x14ac:dyDescent="0.2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6"/>
      <c r="AA3" s="16"/>
    </row>
    <row r="4" spans="1:27" ht="1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27" t="s">
        <v>38</v>
      </c>
      <c r="W4" s="27"/>
      <c r="X4" s="27"/>
      <c r="Y4" s="17"/>
      <c r="Z4" s="17"/>
    </row>
    <row r="5" spans="1:27" ht="1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28"/>
      <c r="W5" s="28"/>
      <c r="X5" s="28"/>
      <c r="Y5" s="17"/>
      <c r="Z5" s="17"/>
    </row>
    <row r="6" spans="1:27" ht="1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29">
        <f>GETPIVOTDATA("Total Vendas",Analise!$A$3)</f>
        <v>7803.98</v>
      </c>
      <c r="W6" s="29"/>
      <c r="X6" s="29"/>
      <c r="Y6" s="17"/>
      <c r="Z6" s="17"/>
    </row>
    <row r="7" spans="1:27" ht="15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29"/>
      <c r="W7" s="29"/>
      <c r="X7" s="29"/>
      <c r="Y7" s="17"/>
      <c r="Z7" s="17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7" x14ac:dyDescent="0.25"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7" x14ac:dyDescent="0.25"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</sheetData>
  <mergeCells count="3">
    <mergeCell ref="A1:Z3"/>
    <mergeCell ref="V4:X5"/>
    <mergeCell ref="V6:X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</vt:lpstr>
      <vt:lpstr>Tabela de Preços</vt:lpstr>
      <vt:lpstr>Analise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Alex Santos</cp:lastModifiedBy>
  <dcterms:created xsi:type="dcterms:W3CDTF">2020-12-10T23:18:50Z</dcterms:created>
  <dcterms:modified xsi:type="dcterms:W3CDTF">2026-10-07T00:29:20Z</dcterms:modified>
</cp:coreProperties>
</file>